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urrent State" sheetId="2" state="visible" r:id="rId4"/>
    <sheet name="End State" sheetId="3" state="visible" r:id="rId5"/>
    <sheet name="Savings Bridge" sheetId="4" state="visible" r:id="rId6"/>
    <sheet name="Scenario Ran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Brief gives no active-user count for Jira. Flagged as a limitation.</t>
        </r>
      </text>
    </comment>
  </commentList>
</comments>
</file>

<file path=xl/sharedStrings.xml><?xml version="1.0" encoding="utf-8"?>
<sst xmlns="http://schemas.openxmlformats.org/spreadsheetml/2006/main" count="76" uniqueCount="67">
  <si>
    <t xml:space="preserve">Meridian Mobility — SaaS Consolidation Model</t>
  </si>
  <si>
    <t xml:space="preserve">All current-state figures from the case brief. Blue cells are levers — change them and every sheet recalculates.</t>
  </si>
  <si>
    <t xml:space="preserve">Negotiation &amp; scenario levers</t>
  </si>
  <si>
    <t xml:space="preserve">Lever</t>
  </si>
  <si>
    <t xml:space="preserve">Value</t>
  </si>
  <si>
    <t xml:space="preserve">Note</t>
  </si>
  <si>
    <t xml:space="preserve">Asana negotiated rate ($/seat/yr)</t>
  </si>
  <si>
    <t xml:space="preserve">List is $1,200/seat. Base case assumes ~17% off on a 3-yr consolidated deal.</t>
  </si>
  <si>
    <t xml:space="preserve">Asana list rate ($/seat/yr)</t>
  </si>
  <si>
    <t xml:space="preserve">Derived: current Asana cost / purchased seats.</t>
  </si>
  <si>
    <t xml:space="preserve">Users migrated off Monday.com + Trello</t>
  </si>
  <si>
    <t xml:space="preserve">Monday.com active 230 + Trello active 120.</t>
  </si>
  <si>
    <t xml:space="preserve">Of those, already hold Asana (overlap)</t>
  </si>
  <si>
    <t xml:space="preserve">SOFT ESTIMATE. Needs real licence-to-headcount mapping. See notes.</t>
  </si>
  <si>
    <t xml:space="preserve">Jira right-sizing at renewal (%)</t>
  </si>
  <si>
    <t xml:space="preserve">Base case: 0%. Brief gives no Jira active count, so no cut is modelled.</t>
  </si>
  <si>
    <t xml:space="preserve">Current state — four PM platforms</t>
  </si>
  <si>
    <t xml:space="preserve">Vendor</t>
  </si>
  <si>
    <t xml:space="preserve">Purchased seats</t>
  </si>
  <si>
    <t xml:space="preserve">Active users</t>
  </si>
  <si>
    <t xml:space="preserve">Annual cost</t>
  </si>
  <si>
    <t xml:space="preserve">List $/seat</t>
  </si>
  <si>
    <t xml:space="preserve">$/active user</t>
  </si>
  <si>
    <t xml:space="preserve">Idle seats</t>
  </si>
  <si>
    <t xml:space="preserve">Utilisation</t>
  </si>
  <si>
    <t xml:space="preserve">Jira</t>
  </si>
  <si>
    <t xml:space="preserve">Asana</t>
  </si>
  <si>
    <t xml:space="preserve">Monday.com</t>
  </si>
  <si>
    <t xml:space="preserve">Trello</t>
  </si>
  <si>
    <t xml:space="preserve">Total</t>
  </si>
  <si>
    <t xml:space="preserve">Microsoft Planner is bundled in the existing Microsoft 365 licence — $0 incremental, out of scope.</t>
  </si>
  <si>
    <t xml:space="preserve">End state — standardise on Asana, retire Monday.com + Trello, keep Jira</t>
  </si>
  <si>
    <t xml:space="preserve">Asana seat build-up</t>
  </si>
  <si>
    <t xml:space="preserve">Retained Asana active users</t>
  </si>
  <si>
    <t xml:space="preserve">Migrated from Monday.com + Trello</t>
  </si>
  <si>
    <t xml:space="preserve">Less: already hold Asana (overlap)</t>
  </si>
  <si>
    <t xml:space="preserve">End-state Asana seats</t>
  </si>
  <si>
    <t xml:space="preserve">End-state annual cost</t>
  </si>
  <si>
    <t xml:space="preserve">Seats</t>
  </si>
  <si>
    <t xml:space="preserve">Rate/status</t>
  </si>
  <si>
    <t xml:space="preserve">@ Assumptions!$B$6/seat</t>
  </si>
  <si>
    <t xml:space="preserve">held flat, less right-sizing</t>
  </si>
  <si>
    <t xml:space="preserve">retired</t>
  </si>
  <si>
    <t xml:space="preserve">End-state total</t>
  </si>
  <si>
    <t xml:space="preserve">Savings bridge — current to end state (no double counting)</t>
  </si>
  <si>
    <t xml:space="preserve">Impact</t>
  </si>
  <si>
    <t xml:space="preserve">Running total</t>
  </si>
  <si>
    <t xml:space="preserve">Current spend</t>
  </si>
  <si>
    <t xml:space="preserve">Remove unused Asana licences</t>
  </si>
  <si>
    <t xml:space="preserve">Retire Trello</t>
  </si>
  <si>
    <t xml:space="preserve">Retire Monday.com</t>
  </si>
  <si>
    <t xml:space="preserve">Migrate net-new users to Asana</t>
  </si>
  <si>
    <t xml:space="preserve">Renegotiate Asana rate (retained seats)</t>
  </si>
  <si>
    <t xml:space="preserve">End-state spend</t>
  </si>
  <si>
    <t xml:space="preserve">Total annual saving</t>
  </si>
  <si>
    <t xml:space="preserve">As % of current spend</t>
  </si>
  <si>
    <t xml:space="preserve">Reconciliation check (bridge end = End State total)</t>
  </si>
  <si>
    <t xml:space="preserve">Savings range — sensitivity to the Asana rate and Jira right-sizing</t>
  </si>
  <si>
    <t xml:space="preserve">Scenario</t>
  </si>
  <si>
    <t xml:space="preserve">Asana rate</t>
  </si>
  <si>
    <t xml:space="preserve">Jira cut</t>
  </si>
  <si>
    <t xml:space="preserve">Annual saving</t>
  </si>
  <si>
    <t xml:space="preserve">% saving</t>
  </si>
  <si>
    <t xml:space="preserve">Conservative</t>
  </si>
  <si>
    <t xml:space="preserve">Base</t>
  </si>
  <si>
    <t xml:space="preserve">Optimistic</t>
  </si>
  <si>
    <t xml:space="preserve">Range headline: $540K (conservative) to $750K (optimistic); base case $610K.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</si>
</sst>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3C"/>
      <name val="Arial"/>
      <family val="0"/>
      <charset val="1"/>
    </font>
    <font>
      <i val="true"/>
      <sz val="9"/>
      <color rgb="FF6A7B8B"/>
      <name val="Arial"/>
      <family val="0"/>
      <charset val="1"/>
    </font>
    <font>
      <b val="true"/>
      <sz val="12"/>
      <color rgb="FF1A2B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1"/>
      <color rgb="FF2F6FE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3C"/>
        <bgColor rgb="FF003366"/>
      </patternFill>
    </fill>
    <fill>
      <patternFill patternType="solid">
        <fgColor rgb="FFFFF3B0"/>
        <bgColor rgb="FFEDF1F6"/>
      </patternFill>
    </fill>
    <fill>
      <patternFill patternType="solid">
        <fgColor rgb="FFED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7B8B"/>
      <rgbColor rgb="FF9999FF"/>
      <rgbColor rgb="FF993366"/>
      <rgbColor rgb="FFEDF1F6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2F6FED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1000</v>
      </c>
      <c r="C6" s="7" t="s">
        <v>7</v>
      </c>
    </row>
    <row r="7" customFormat="false" ht="15" hidden="false" customHeight="false" outlineLevel="0" collapsed="false">
      <c r="A7" s="5" t="s">
        <v>8</v>
      </c>
      <c r="B7" s="8" t="n">
        <v>1200</v>
      </c>
      <c r="C7" s="7" t="s">
        <v>9</v>
      </c>
    </row>
    <row r="8" customFormat="false" ht="15" hidden="false" customHeight="false" outlineLevel="0" collapsed="false">
      <c r="A8" s="5" t="s">
        <v>10</v>
      </c>
      <c r="B8" s="8" t="n">
        <v>350</v>
      </c>
      <c r="C8" s="7" t="s">
        <v>11</v>
      </c>
    </row>
    <row r="9" customFormat="false" ht="15" hidden="false" customHeight="false" outlineLevel="0" collapsed="false">
      <c r="A9" s="5" t="s">
        <v>12</v>
      </c>
      <c r="B9" s="6" t="n">
        <v>150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9" t="n">
        <v>0</v>
      </c>
      <c r="C10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16</v>
      </c>
    </row>
    <row r="2" customFormat="false" ht="15" hidden="false" customHeight="false" outlineLevel="0" collapsed="false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</row>
    <row r="3" customFormat="false" ht="15" hidden="false" customHeight="false" outlineLevel="0" collapsed="false">
      <c r="A3" s="10" t="s">
        <v>25</v>
      </c>
      <c r="B3" s="11" t="n">
        <v>900</v>
      </c>
      <c r="C3" s="11"/>
      <c r="D3" s="12" t="n">
        <v>1050000</v>
      </c>
      <c r="E3" s="13" t="n">
        <f aca="false">D3/B3</f>
        <v>1166.66666666667</v>
      </c>
      <c r="F3" s="13" t="str">
        <f aca="false">IF(C3="","n/a",D3/C3)</f>
        <v>n/a</v>
      </c>
      <c r="G3" s="14" t="str">
        <f aca="false">IF(C3="","n/a",B3-C3)</f>
        <v>n/a</v>
      </c>
      <c r="H3" s="15" t="str">
        <f aca="false">IF(C3="","n/a",C3/B3)</f>
        <v>n/a</v>
      </c>
    </row>
    <row r="4" customFormat="false" ht="15" hidden="false" customHeight="false" outlineLevel="0" collapsed="false">
      <c r="A4" s="10" t="s">
        <v>26</v>
      </c>
      <c r="B4" s="11" t="n">
        <v>650</v>
      </c>
      <c r="C4" s="11" t="n">
        <v>510</v>
      </c>
      <c r="D4" s="12" t="n">
        <v>780000</v>
      </c>
      <c r="E4" s="13" t="n">
        <f aca="false">D4/B4</f>
        <v>1200</v>
      </c>
      <c r="F4" s="13" t="n">
        <f aca="false">IF(C4="","n/a",D4/C4)</f>
        <v>1529.41176470588</v>
      </c>
      <c r="G4" s="14" t="n">
        <f aca="false">IF(C4="","n/a",B4-C4)</f>
        <v>140</v>
      </c>
      <c r="H4" s="15" t="n">
        <f aca="false">IF(C4="","n/a",C4/B4)</f>
        <v>0.784615384615385</v>
      </c>
    </row>
    <row r="5" customFormat="false" ht="15" hidden="false" customHeight="false" outlineLevel="0" collapsed="false">
      <c r="A5" s="10" t="s">
        <v>27</v>
      </c>
      <c r="B5" s="11" t="n">
        <v>350</v>
      </c>
      <c r="C5" s="11" t="n">
        <v>230</v>
      </c>
      <c r="D5" s="12" t="n">
        <v>420000</v>
      </c>
      <c r="E5" s="13" t="n">
        <f aca="false">D5/B5</f>
        <v>1200</v>
      </c>
      <c r="F5" s="13" t="n">
        <f aca="false">IF(C5="","n/a",D5/C5)</f>
        <v>1826.08695652174</v>
      </c>
      <c r="G5" s="14" t="n">
        <f aca="false">IF(C5="","n/a",B5-C5)</f>
        <v>120</v>
      </c>
      <c r="H5" s="15" t="n">
        <f aca="false">IF(C5="","n/a",C5/B5)</f>
        <v>0.657142857142857</v>
      </c>
    </row>
    <row r="6" customFormat="false" ht="15" hidden="false" customHeight="false" outlineLevel="0" collapsed="false">
      <c r="A6" s="10" t="s">
        <v>28</v>
      </c>
      <c r="B6" s="11" t="n">
        <v>250</v>
      </c>
      <c r="C6" s="11" t="n">
        <v>120</v>
      </c>
      <c r="D6" s="12" t="n">
        <v>120000</v>
      </c>
      <c r="E6" s="13" t="n">
        <f aca="false">D6/B6</f>
        <v>480</v>
      </c>
      <c r="F6" s="13" t="n">
        <f aca="false">IF(C6="","n/a",D6/C6)</f>
        <v>1000</v>
      </c>
      <c r="G6" s="14" t="n">
        <f aca="false">IF(C6="","n/a",B6-C6)</f>
        <v>130</v>
      </c>
      <c r="H6" s="15" t="n">
        <f aca="false">IF(C6="","n/a",C6/B6)</f>
        <v>0.48</v>
      </c>
    </row>
    <row r="7" customFormat="false" ht="15" hidden="false" customHeight="false" outlineLevel="0" collapsed="false">
      <c r="A7" s="16" t="s">
        <v>29</v>
      </c>
      <c r="B7" s="16" t="n">
        <f aca="false">SUM(B3:B6)</f>
        <v>2150</v>
      </c>
      <c r="C7" s="17"/>
      <c r="D7" s="18" t="n">
        <f aca="false">SUM(D3:D6)</f>
        <v>2370000</v>
      </c>
      <c r="E7" s="17"/>
      <c r="F7" s="17"/>
      <c r="G7" s="17"/>
      <c r="H7" s="17"/>
    </row>
    <row r="9" customFormat="false" ht="15" hidden="false" customHeight="false" outlineLevel="0" collapsed="false">
      <c r="A9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31</v>
      </c>
    </row>
    <row r="3" customFormat="false" ht="15" hidden="false" customHeight="false" outlineLevel="0" collapsed="false">
      <c r="A3" s="19" t="s">
        <v>32</v>
      </c>
    </row>
    <row r="4" customFormat="false" ht="15" hidden="false" customHeight="false" outlineLevel="0" collapsed="false">
      <c r="A4" s="5" t="s">
        <v>33</v>
      </c>
      <c r="B4" s="14" t="n">
        <f aca="false">'Current State'!C4</f>
        <v>510</v>
      </c>
    </row>
    <row r="5" customFormat="false" ht="15" hidden="false" customHeight="false" outlineLevel="0" collapsed="false">
      <c r="A5" s="5" t="s">
        <v>34</v>
      </c>
      <c r="B5" s="14" t="n">
        <f aca="false">'Current State'!C5+'Current State'!C6</f>
        <v>350</v>
      </c>
    </row>
    <row r="6" customFormat="false" ht="15" hidden="false" customHeight="false" outlineLevel="0" collapsed="false">
      <c r="A6" s="5" t="s">
        <v>35</v>
      </c>
      <c r="B6" s="14" t="n">
        <f aca="false">-Assumptions!$B$9</f>
        <v>-150</v>
      </c>
    </row>
    <row r="7" customFormat="false" ht="15" hidden="false" customHeight="false" outlineLevel="0" collapsed="false">
      <c r="A7" s="10" t="s">
        <v>36</v>
      </c>
      <c r="B7" s="16" t="n">
        <f aca="false">B4+B5+B6</f>
        <v>710</v>
      </c>
    </row>
    <row r="9" customFormat="false" ht="15" hidden="false" customHeight="false" outlineLevel="0" collapsed="false">
      <c r="A9" s="19" t="s">
        <v>37</v>
      </c>
    </row>
    <row r="10" customFormat="false" ht="15" hidden="false" customHeight="false" outlineLevel="0" collapsed="false">
      <c r="A10" s="4" t="s">
        <v>17</v>
      </c>
      <c r="B10" s="4" t="s">
        <v>38</v>
      </c>
      <c r="C10" s="4" t="s">
        <v>39</v>
      </c>
      <c r="D10" s="4" t="s">
        <v>20</v>
      </c>
    </row>
    <row r="11" customFormat="false" ht="15" hidden="false" customHeight="false" outlineLevel="0" collapsed="false">
      <c r="A11" s="10" t="s">
        <v>26</v>
      </c>
      <c r="B11" s="14" t="n">
        <f aca="false">'End State'!$B$7</f>
        <v>710</v>
      </c>
      <c r="C11" s="7" t="s">
        <v>40</v>
      </c>
      <c r="D11" s="13" t="n">
        <f aca="false">'End State'!$B$7*Assumptions!$B$6</f>
        <v>710000</v>
      </c>
    </row>
    <row r="12" customFormat="false" ht="15" hidden="false" customHeight="false" outlineLevel="0" collapsed="false">
      <c r="A12" s="10" t="s">
        <v>25</v>
      </c>
      <c r="B12" s="14" t="n">
        <f aca="false">'Current State'!B3</f>
        <v>900</v>
      </c>
      <c r="C12" s="7" t="s">
        <v>41</v>
      </c>
      <c r="D12" s="13" t="n">
        <f aca="false">'Current State'!D3*(1-Assumptions!$B$10)</f>
        <v>1050000</v>
      </c>
    </row>
    <row r="13" customFormat="false" ht="15" hidden="false" customHeight="false" outlineLevel="0" collapsed="false">
      <c r="A13" s="10" t="s">
        <v>27</v>
      </c>
      <c r="B13" s="14" t="n">
        <v>0</v>
      </c>
      <c r="C13" s="7" t="s">
        <v>42</v>
      </c>
      <c r="D13" s="13" t="n">
        <v>0</v>
      </c>
    </row>
    <row r="14" customFormat="false" ht="15" hidden="false" customHeight="false" outlineLevel="0" collapsed="false">
      <c r="A14" s="10" t="s">
        <v>28</v>
      </c>
      <c r="B14" s="14" t="n">
        <v>0</v>
      </c>
      <c r="C14" s="7" t="s">
        <v>42</v>
      </c>
      <c r="D14" s="13" t="n">
        <v>0</v>
      </c>
    </row>
    <row r="15" customFormat="false" ht="15" hidden="false" customHeight="false" outlineLevel="0" collapsed="false">
      <c r="A15" s="16" t="s">
        <v>43</v>
      </c>
      <c r="B15" s="17"/>
      <c r="C15" s="17"/>
      <c r="D15" s="18" t="n">
        <f aca="false">SUM(D11:D14)</f>
        <v>1760000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44</v>
      </c>
    </row>
    <row r="3" customFormat="false" ht="15" hidden="false" customHeight="false" outlineLevel="0" collapsed="false">
      <c r="A3" s="4" t="s">
        <v>3</v>
      </c>
      <c r="B3" s="4" t="s">
        <v>45</v>
      </c>
      <c r="C3" s="4" t="s">
        <v>46</v>
      </c>
    </row>
    <row r="4" customFormat="false" ht="15" hidden="false" customHeight="false" outlineLevel="0" collapsed="false">
      <c r="A4" s="0" t="s">
        <v>47</v>
      </c>
      <c r="B4" s="20" t="n">
        <f aca="false">'Current State'!D7</f>
        <v>2370000</v>
      </c>
      <c r="C4" s="20" t="n">
        <f aca="false">B4</f>
        <v>2370000</v>
      </c>
    </row>
    <row r="5" customFormat="false" ht="15" hidden="false" customHeight="false" outlineLevel="0" collapsed="false">
      <c r="A5" s="5" t="s">
        <v>48</v>
      </c>
      <c r="B5" s="13" t="n">
        <f aca="false">-('Current State'!B4-'Current State'!C4)*'Current State'!E4</f>
        <v>-168000</v>
      </c>
      <c r="C5" s="13" t="n">
        <f aca="false">C4+B5</f>
        <v>2202000</v>
      </c>
    </row>
    <row r="6" customFormat="false" ht="15" hidden="false" customHeight="false" outlineLevel="0" collapsed="false">
      <c r="A6" s="5" t="s">
        <v>49</v>
      </c>
      <c r="B6" s="13" t="n">
        <f aca="false">-'Current State'!D6</f>
        <v>-120000</v>
      </c>
      <c r="C6" s="13" t="n">
        <f aca="false">C5+B6</f>
        <v>2082000</v>
      </c>
    </row>
    <row r="7" customFormat="false" ht="15" hidden="false" customHeight="false" outlineLevel="0" collapsed="false">
      <c r="A7" s="5" t="s">
        <v>50</v>
      </c>
      <c r="B7" s="13" t="n">
        <f aca="false">-'Current State'!D5</f>
        <v>-420000</v>
      </c>
      <c r="C7" s="13" t="n">
        <f aca="false">C6+B7</f>
        <v>1662000</v>
      </c>
    </row>
    <row r="8" customFormat="false" ht="15" hidden="false" customHeight="false" outlineLevel="0" collapsed="false">
      <c r="A8" s="5" t="s">
        <v>51</v>
      </c>
      <c r="B8" s="13" t="n">
        <f aca="false">('Current State'!C5+'Current State'!C6-Assumptions!$B$9)*Assumptions!$B$6</f>
        <v>200000</v>
      </c>
      <c r="C8" s="13" t="n">
        <f aca="false">C7+B8</f>
        <v>1862000</v>
      </c>
    </row>
    <row r="9" customFormat="false" ht="15" hidden="false" customHeight="false" outlineLevel="0" collapsed="false">
      <c r="A9" s="5" t="s">
        <v>52</v>
      </c>
      <c r="B9" s="13" t="n">
        <f aca="false">-('Current State'!E4-Assumptions!$B$6)*'Current State'!C4</f>
        <v>-102000</v>
      </c>
      <c r="C9" s="13" t="n">
        <f aca="false">C8+B9</f>
        <v>1760000</v>
      </c>
    </row>
    <row r="10" customFormat="false" ht="15" hidden="false" customHeight="false" outlineLevel="0" collapsed="false">
      <c r="A10" s="16" t="s">
        <v>53</v>
      </c>
      <c r="B10" s="17"/>
      <c r="C10" s="18" t="n">
        <f aca="false">C9</f>
        <v>1760000</v>
      </c>
    </row>
    <row r="12" customFormat="false" ht="15" hidden="false" customHeight="false" outlineLevel="0" collapsed="false">
      <c r="A12" s="19" t="s">
        <v>54</v>
      </c>
      <c r="C12" s="21" t="n">
        <f aca="false">'Current State'!D7-C10</f>
        <v>610000</v>
      </c>
    </row>
    <row r="13" customFormat="false" ht="15" hidden="false" customHeight="false" outlineLevel="0" collapsed="false">
      <c r="A13" s="22" t="s">
        <v>55</v>
      </c>
      <c r="C13" s="23" t="n">
        <f aca="false">C12/'Current State'!D7</f>
        <v>0.257383966244726</v>
      </c>
    </row>
    <row r="15" customFormat="false" ht="15" hidden="false" customHeight="false" outlineLevel="0" collapsed="false">
      <c r="A15" s="2" t="s">
        <v>56</v>
      </c>
      <c r="C15" s="2" t="str">
        <f aca="false">IF(ROUND(C10-'End State'!$D$15,0)=0,"OK","MISMATCH")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57</v>
      </c>
    </row>
    <row r="3" customFormat="false" ht="15" hidden="false" customHeight="false" outlineLevel="0" collapsed="false">
      <c r="A3" s="4" t="s">
        <v>58</v>
      </c>
      <c r="B3" s="4" t="s">
        <v>59</v>
      </c>
      <c r="C3" s="4" t="s">
        <v>60</v>
      </c>
      <c r="D3" s="4" t="s">
        <v>53</v>
      </c>
      <c r="E3" s="4" t="s">
        <v>61</v>
      </c>
      <c r="F3" s="4" t="s">
        <v>62</v>
      </c>
    </row>
    <row r="4" customFormat="false" ht="15" hidden="false" customHeight="false" outlineLevel="0" collapsed="false">
      <c r="A4" s="10" t="s">
        <v>63</v>
      </c>
      <c r="B4" s="24" t="n">
        <v>1100</v>
      </c>
      <c r="C4" s="9" t="n">
        <v>0</v>
      </c>
      <c r="D4" s="13" t="n">
        <f aca="false">'End State'!$B$7*B4+'Current State'!D3*(1-C4)</f>
        <v>1831000</v>
      </c>
      <c r="E4" s="13" t="n">
        <f aca="false">'Current State'!D7-D4</f>
        <v>539000</v>
      </c>
      <c r="F4" s="15" t="n">
        <f aca="false">E4/'Current State'!D7</f>
        <v>0.227426160337553</v>
      </c>
    </row>
    <row r="5" customFormat="false" ht="15" hidden="false" customHeight="false" outlineLevel="0" collapsed="false">
      <c r="A5" s="10" t="s">
        <v>64</v>
      </c>
      <c r="B5" s="24" t="n">
        <v>1000</v>
      </c>
      <c r="C5" s="9" t="n">
        <v>0</v>
      </c>
      <c r="D5" s="13" t="n">
        <f aca="false">'End State'!$B$7*B5+'Current State'!D3*(1-C5)</f>
        <v>1760000</v>
      </c>
      <c r="E5" s="13" t="n">
        <f aca="false">'Current State'!D7-D5</f>
        <v>610000</v>
      </c>
      <c r="F5" s="15" t="n">
        <f aca="false">E5/'Current State'!D7</f>
        <v>0.257383966244726</v>
      </c>
    </row>
    <row r="6" customFormat="false" ht="15" hidden="false" customHeight="false" outlineLevel="0" collapsed="false">
      <c r="A6" s="10" t="s">
        <v>65</v>
      </c>
      <c r="B6" s="24" t="n">
        <v>950</v>
      </c>
      <c r="C6" s="9" t="n">
        <v>0.1</v>
      </c>
      <c r="D6" s="13" t="n">
        <f aca="false">'End State'!$B$7*B6+'Current State'!D3*(1-C6)</f>
        <v>1619500</v>
      </c>
      <c r="E6" s="13" t="n">
        <f aca="false">'Current State'!D7-D6</f>
        <v>750500</v>
      </c>
      <c r="F6" s="15" t="n">
        <f aca="false">E6/'Current State'!D7</f>
        <v>0.316666666666667</v>
      </c>
    </row>
    <row r="8" customFormat="false" ht="15" hidden="false" customHeight="false" outlineLevel="0" collapsed="false">
      <c r="A8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2026-07-26T19:42:04Z</dcterms:created>
  <dc:creator>openpyxl</dc:creator>
  <dc:description/>
  <dc:language>en-US</dc:language>
  <cp:lastModifiedBy/>
  <dcterms:modified xsi:type="dcterms:W3CDTF">2026-07-26T19:42:04Z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